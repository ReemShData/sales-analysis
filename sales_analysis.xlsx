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65B12ADC-2742-405D-B8AA-D6EF4C2EA806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Raw Data" sheetId="1" r:id="rId1"/>
    <sheet name="Analysi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5" i="2"/>
  <c r="C14" i="2"/>
  <c r="C13" i="2"/>
  <c r="C12" i="2"/>
  <c r="C11" i="2"/>
  <c r="C8" i="2"/>
  <c r="C7" i="2"/>
  <c r="C6" i="2"/>
  <c r="C5" i="2"/>
</calcChain>
</file>

<file path=xl/sharedStrings.xml><?xml version="1.0" encoding="utf-8"?>
<sst xmlns="http://schemas.openxmlformats.org/spreadsheetml/2006/main" count="75" uniqueCount="26">
  <si>
    <t>Month</t>
  </si>
  <si>
    <t>Product</t>
  </si>
  <si>
    <t>Quantity Sold</t>
  </si>
  <si>
    <t>Unit Price ($)</t>
  </si>
  <si>
    <t>Total Sales ($)</t>
  </si>
  <si>
    <t>Region</t>
  </si>
  <si>
    <t>January</t>
  </si>
  <si>
    <t>Laptop</t>
  </si>
  <si>
    <t>North</t>
  </si>
  <si>
    <t>Phone</t>
  </si>
  <si>
    <t>South</t>
  </si>
  <si>
    <t>Headphones</t>
  </si>
  <si>
    <t>East</t>
  </si>
  <si>
    <t>February</t>
  </si>
  <si>
    <t>West</t>
  </si>
  <si>
    <t>March</t>
  </si>
  <si>
    <t>April</t>
  </si>
  <si>
    <t>May</t>
  </si>
  <si>
    <t>June</t>
  </si>
  <si>
    <t>Sales Analysis Summary</t>
  </si>
  <si>
    <t>Metric</t>
  </si>
  <si>
    <t>Value</t>
  </si>
  <si>
    <t>Total Revenue</t>
  </si>
  <si>
    <t>Best Month</t>
  </si>
  <si>
    <t>Best Product</t>
  </si>
  <si>
    <t>Total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</si>
</sst>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\-??_ ;_-@_ "/>
    <numFmt numFmtId="165" formatCode="\$#,##0"/>
  </numFmts>
  <fonts count="6"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5"/>
      <color rgb="FF2F5597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 Analysis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Analysis!C10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Analysis!$B$11:$B$16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Analysis!$C$11:$C$16</c:f>
              <c:numCache>
                <c:formatCode>\$#,##0</c:formatCode>
                <c:ptCount val="6"/>
                <c:pt idx="0">
                  <c:v>52000</c:v>
                </c:pt>
                <c:pt idx="1">
                  <c:v>53000</c:v>
                </c:pt>
                <c:pt idx="2">
                  <c:v>66000</c:v>
                </c:pt>
                <c:pt idx="3">
                  <c:v>48000</c:v>
                </c:pt>
                <c:pt idx="4">
                  <c:v>61500</c:v>
                </c:pt>
                <c:pt idx="5">
                  <c:v>79000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9-468C-B9F4-ED065582C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187463"/>
        <c:axId val="94194632"/>
      </c:barChart>
      <c:catAx>
        <c:axId val="631874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194632"/>
        <c:crosses val="autoZero"/>
        <c:auto val="1"/>
        <c:lblAlgn val="ctr"/>
        <c:lblOffset val="100"/>
        <c:noMultiLvlLbl val="0"/>
      </c:catAx>
      <c:valAx>
        <c:axId val="941946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18746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145440</xdr:rowOff>
    </xdr:from>
    <xdr:to>
      <xdr:col>13</xdr:col>
      <xdr:colOff>473400</xdr:colOff>
      <xdr:row>29</xdr:row>
      <xdr:rowOff>41760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الجدول1" displayName="الجدول1" ref="A1:F19" totalsRowShown="0">
  <autoFilter ref="A1:F19" xr:uid="{00000000-0009-0000-0100-000001000000}"/>
  <tableColumns count="6">
    <tableColumn id="1" xr3:uid="{00000000-0010-0000-0000-000001000000}" name="Month"/>
    <tableColumn id="2" xr3:uid="{00000000-0010-0000-0000-000002000000}" name="Product"/>
    <tableColumn id="3" xr3:uid="{00000000-0010-0000-0000-000003000000}" name="Quantity Sold"/>
    <tableColumn id="4" xr3:uid="{00000000-0010-0000-0000-000004000000}" name="Unit Price ($)"/>
    <tableColumn id="5" xr3:uid="{00000000-0010-0000-0000-000005000000}" name="Total Sales ($)"/>
    <tableColumn id="6" xr3:uid="{00000000-0010-0000-0000-000006000000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zoomScaleNormal="100" workbookViewId="0">
      <pane ySplit="1" topLeftCell="A2" activePane="bottomLeft" state="frozen"/>
      <selection pane="bottomLeft" activeCell="F3" sqref="F3"/>
    </sheetView>
  </sheetViews>
  <sheetFormatPr defaultColWidth="8.625" defaultRowHeight="14.25"/>
  <cols>
    <col min="2" max="2" width="11.375" style="1" customWidth="1"/>
    <col min="3" max="3" width="15" style="1" customWidth="1"/>
    <col min="4" max="4" width="14.375" style="1" customWidth="1"/>
    <col min="5" max="5" width="16.5" style="2" customWidth="1"/>
    <col min="6" max="6" width="16.75" style="1" customWidth="1"/>
    <col min="8" max="8" width="8.25" style="1" customWidth="1"/>
    <col min="9" max="9" width="13" style="1" customWidth="1"/>
    <col min="10" max="10" width="36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/>
    </row>
    <row r="2" spans="1:10" ht="15" customHeight="1">
      <c r="A2" s="1" t="s">
        <v>6</v>
      </c>
      <c r="B2" s="1" t="s">
        <v>7</v>
      </c>
      <c r="C2" s="1">
        <v>30</v>
      </c>
      <c r="D2" s="1">
        <v>800</v>
      </c>
      <c r="E2" s="2">
        <v>24000</v>
      </c>
      <c r="F2" s="1" t="s">
        <v>8</v>
      </c>
      <c r="G2" s="1"/>
      <c r="I2" s="3"/>
      <c r="J2" s="4"/>
    </row>
    <row r="3" spans="1:10" ht="15" customHeight="1">
      <c r="A3" s="1" t="s">
        <v>6</v>
      </c>
      <c r="B3" s="1" t="s">
        <v>9</v>
      </c>
      <c r="C3" s="1">
        <v>50</v>
      </c>
      <c r="D3" s="1">
        <v>400</v>
      </c>
      <c r="E3" s="2">
        <v>20000</v>
      </c>
      <c r="F3" s="1" t="s">
        <v>10</v>
      </c>
      <c r="G3" s="1"/>
      <c r="I3" s="3"/>
      <c r="J3" s="5"/>
    </row>
    <row r="4" spans="1:10" ht="15" customHeight="1">
      <c r="A4" s="1" t="s">
        <v>6</v>
      </c>
      <c r="B4" s="1" t="s">
        <v>11</v>
      </c>
      <c r="C4" s="1">
        <v>80</v>
      </c>
      <c r="D4" s="1">
        <v>100</v>
      </c>
      <c r="E4" s="2">
        <v>8000</v>
      </c>
      <c r="F4" s="1" t="s">
        <v>12</v>
      </c>
      <c r="G4" s="1"/>
      <c r="I4" s="3"/>
      <c r="J4" s="3"/>
    </row>
    <row r="5" spans="1:10">
      <c r="A5" s="1" t="s">
        <v>13</v>
      </c>
      <c r="B5" s="1" t="s">
        <v>7</v>
      </c>
      <c r="C5" s="1">
        <v>25</v>
      </c>
      <c r="D5" s="1">
        <v>800</v>
      </c>
      <c r="E5" s="2">
        <v>20000</v>
      </c>
      <c r="F5" s="1" t="s">
        <v>14</v>
      </c>
      <c r="G5" s="1"/>
    </row>
    <row r="6" spans="1:10">
      <c r="A6" s="1" t="s">
        <v>13</v>
      </c>
      <c r="B6" s="1" t="s">
        <v>9</v>
      </c>
      <c r="C6" s="1">
        <v>60</v>
      </c>
      <c r="D6" s="1">
        <v>400</v>
      </c>
      <c r="E6" s="2">
        <v>24000</v>
      </c>
      <c r="F6" s="1" t="s">
        <v>8</v>
      </c>
      <c r="G6" s="1"/>
    </row>
    <row r="7" spans="1:10">
      <c r="A7" s="1" t="s">
        <v>13</v>
      </c>
      <c r="B7" s="1" t="s">
        <v>11</v>
      </c>
      <c r="C7" s="1">
        <v>90</v>
      </c>
      <c r="D7" s="1">
        <v>100</v>
      </c>
      <c r="E7" s="2">
        <v>9000</v>
      </c>
      <c r="F7" s="1" t="s">
        <v>10</v>
      </c>
      <c r="G7" s="1"/>
    </row>
    <row r="8" spans="1:10">
      <c r="A8" s="1" t="s">
        <v>15</v>
      </c>
      <c r="B8" s="1" t="s">
        <v>7</v>
      </c>
      <c r="C8" s="1">
        <v>40</v>
      </c>
      <c r="D8" s="1">
        <v>800</v>
      </c>
      <c r="E8" s="2">
        <v>32000</v>
      </c>
      <c r="F8" s="1" t="s">
        <v>12</v>
      </c>
      <c r="G8" s="1"/>
    </row>
    <row r="9" spans="1:10">
      <c r="A9" s="1" t="s">
        <v>15</v>
      </c>
      <c r="B9" s="1" t="s">
        <v>9</v>
      </c>
      <c r="C9" s="1">
        <v>70</v>
      </c>
      <c r="D9" s="1">
        <v>400</v>
      </c>
      <c r="E9" s="2">
        <v>28000</v>
      </c>
      <c r="F9" s="1" t="s">
        <v>14</v>
      </c>
      <c r="G9" s="1"/>
    </row>
    <row r="10" spans="1:10">
      <c r="A10" s="1" t="s">
        <v>15</v>
      </c>
      <c r="B10" s="1" t="s">
        <v>11</v>
      </c>
      <c r="C10" s="1">
        <v>60</v>
      </c>
      <c r="D10" s="1">
        <v>100</v>
      </c>
      <c r="E10" s="2">
        <v>6000</v>
      </c>
      <c r="F10" s="1" t="s">
        <v>8</v>
      </c>
      <c r="G10" s="1"/>
    </row>
    <row r="11" spans="1:10">
      <c r="A11" s="1" t="s">
        <v>16</v>
      </c>
      <c r="B11" s="1" t="s">
        <v>7</v>
      </c>
      <c r="C11" s="1">
        <v>20</v>
      </c>
      <c r="D11" s="1">
        <v>800</v>
      </c>
      <c r="E11" s="2">
        <v>16000</v>
      </c>
      <c r="F11" s="1" t="s">
        <v>10</v>
      </c>
      <c r="G11" s="1"/>
    </row>
    <row r="12" spans="1:10">
      <c r="A12" s="1" t="s">
        <v>16</v>
      </c>
      <c r="B12" s="1" t="s">
        <v>9</v>
      </c>
      <c r="C12" s="1">
        <v>55</v>
      </c>
      <c r="D12" s="1">
        <v>400</v>
      </c>
      <c r="E12" s="2">
        <v>22000</v>
      </c>
      <c r="F12" s="1" t="s">
        <v>12</v>
      </c>
      <c r="G12" s="1"/>
    </row>
    <row r="13" spans="1:10">
      <c r="A13" s="1" t="s">
        <v>16</v>
      </c>
      <c r="B13" s="1" t="s">
        <v>11</v>
      </c>
      <c r="C13" s="1">
        <v>100</v>
      </c>
      <c r="D13" s="1">
        <v>100</v>
      </c>
      <c r="E13" s="2">
        <v>10000</v>
      </c>
      <c r="F13" s="1" t="s">
        <v>14</v>
      </c>
      <c r="G13" s="1"/>
    </row>
    <row r="14" spans="1:10">
      <c r="A14" s="1" t="s">
        <v>17</v>
      </c>
      <c r="B14" s="1" t="s">
        <v>7</v>
      </c>
      <c r="C14" s="1">
        <v>35</v>
      </c>
      <c r="D14" s="1">
        <v>800</v>
      </c>
      <c r="E14" s="2">
        <v>28000</v>
      </c>
      <c r="F14" s="1" t="s">
        <v>8</v>
      </c>
      <c r="G14" s="1"/>
    </row>
    <row r="15" spans="1:10">
      <c r="A15" s="1" t="s">
        <v>17</v>
      </c>
      <c r="B15" s="1" t="s">
        <v>9</v>
      </c>
      <c r="C15" s="1">
        <v>65</v>
      </c>
      <c r="D15" s="1">
        <v>400</v>
      </c>
      <c r="E15" s="2">
        <v>26000</v>
      </c>
      <c r="F15" s="1" t="s">
        <v>10</v>
      </c>
      <c r="G15" s="1"/>
    </row>
    <row r="16" spans="1:10">
      <c r="A16" s="1" t="s">
        <v>17</v>
      </c>
      <c r="B16" s="1" t="s">
        <v>11</v>
      </c>
      <c r="C16" s="1">
        <v>75</v>
      </c>
      <c r="D16" s="1">
        <v>100</v>
      </c>
      <c r="E16" s="2">
        <v>7500</v>
      </c>
      <c r="F16" s="1" t="s">
        <v>12</v>
      </c>
      <c r="G16" s="1"/>
    </row>
    <row r="17" spans="1:8">
      <c r="A17" s="1" t="s">
        <v>18</v>
      </c>
      <c r="B17" s="1" t="s">
        <v>7</v>
      </c>
      <c r="C17" s="1">
        <v>45</v>
      </c>
      <c r="D17" s="1">
        <v>800</v>
      </c>
      <c r="E17" s="2">
        <v>36000</v>
      </c>
      <c r="F17" s="1" t="s">
        <v>14</v>
      </c>
      <c r="G17" s="1"/>
    </row>
    <row r="18" spans="1:8">
      <c r="A18" s="1" t="s">
        <v>18</v>
      </c>
      <c r="B18" s="1" t="s">
        <v>9</v>
      </c>
      <c r="C18" s="1">
        <v>80</v>
      </c>
      <c r="D18" s="1">
        <v>400</v>
      </c>
      <c r="E18" s="2">
        <v>32000</v>
      </c>
      <c r="F18" s="1" t="s">
        <v>8</v>
      </c>
      <c r="G18" s="1"/>
    </row>
    <row r="19" spans="1:8">
      <c r="A19" s="1" t="s">
        <v>18</v>
      </c>
      <c r="B19" s="1" t="s">
        <v>11</v>
      </c>
      <c r="C19" s="1">
        <v>110</v>
      </c>
      <c r="D19" s="1">
        <v>100</v>
      </c>
      <c r="E19" s="2">
        <v>11000</v>
      </c>
      <c r="F19" s="1" t="s">
        <v>10</v>
      </c>
      <c r="G19" s="1"/>
      <c r="H19" s="6"/>
    </row>
    <row r="24" spans="1:8" ht="15" customHeight="1">
      <c r="A24" s="1"/>
      <c r="G24" s="1"/>
      <c r="H24" s="3"/>
    </row>
  </sheetData>
  <dataValidations count="3">
    <dataValidation type="list" showErrorMessage="1" errorTitle="Invalid Product" error="Please select: Laptop, Phone, or Headphones" sqref="B2:B1000" xr:uid="{00000000-0002-0000-0000-000000000000}">
      <formula1>"Laptop,Phone,Headphones"</formula1>
    </dataValidation>
    <dataValidation type="list" showErrorMessage="1" errorTitle="Invalid Region" error="Please select: North, South, East, or West" sqref="F2:F1000" xr:uid="{00000000-0002-0000-0000-000001000000}">
      <formula1>"North,South,East,West"</formula1>
    </dataValidation>
    <dataValidation type="list" showErrorMessage="1" errorTitle="Invalid Month" error="Please select a valid month" sqref="A2:A1000" xr:uid="{00000000-0002-0000-0000-000002000000}">
      <formula1>"January,February,March,April,May,June"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6"/>
  <sheetViews>
    <sheetView tabSelected="1" zoomScaleNormal="100" workbookViewId="0"/>
  </sheetViews>
  <sheetFormatPr defaultColWidth="8.625" defaultRowHeight="15"/>
  <cols>
    <col min="2" max="2" width="22" style="1" customWidth="1"/>
    <col min="3" max="3" width="20" style="1" customWidth="1"/>
  </cols>
  <sheetData>
    <row r="2" spans="2:3" ht="18.600000000000001" customHeight="1">
      <c r="B2" s="7" t="s">
        <v>19</v>
      </c>
    </row>
    <row r="4" spans="2:3">
      <c r="B4" s="8" t="s">
        <v>20</v>
      </c>
      <c r="C4" s="8" t="s">
        <v>21</v>
      </c>
    </row>
    <row r="5" spans="2:3">
      <c r="B5" s="9" t="s">
        <v>22</v>
      </c>
      <c r="C5" s="10">
        <f>SUM('Raw Data'!E2:E19)</f>
        <v>359500</v>
      </c>
    </row>
    <row r="6" spans="2:3">
      <c r="B6" s="9" t="s">
        <v>23</v>
      </c>
      <c r="C6" s="11" t="str">
        <f>INDEX('Raw Data'!A2:A19,MATCH(MAX('Raw Data'!E2:E19),'Raw Data'!E2:E19,0))</f>
        <v>June</v>
      </c>
    </row>
    <row r="7" spans="2:3">
      <c r="B7" s="9" t="s">
        <v>24</v>
      </c>
      <c r="C7" s="11" t="str">
        <f>INDEX('Raw Data'!B2:B19,MATCH(MAX('Raw Data'!E2:E19),'Raw Data'!E2:E19,0))</f>
        <v>Laptop</v>
      </c>
    </row>
    <row r="8" spans="2:3">
      <c r="B8" s="9" t="s">
        <v>25</v>
      </c>
      <c r="C8" s="11">
        <f>SUM('Raw Data'!C2:C19)</f>
        <v>1090</v>
      </c>
    </row>
    <row r="10" spans="2:3">
      <c r="B10" s="8" t="s">
        <v>0</v>
      </c>
      <c r="C10" s="8" t="s">
        <v>4</v>
      </c>
    </row>
    <row r="11" spans="2:3">
      <c r="B11" s="11" t="s">
        <v>6</v>
      </c>
      <c r="C11" s="10">
        <f>SUMIF('Raw Data'!A:A,B11,'Raw Data'!E:E)</f>
        <v>52000</v>
      </c>
    </row>
    <row r="12" spans="2:3">
      <c r="B12" s="11" t="s">
        <v>13</v>
      </c>
      <c r="C12" s="10">
        <f>SUMIF('Raw Data'!A:A,B12,'Raw Data'!E:E)</f>
        <v>53000</v>
      </c>
    </row>
    <row r="13" spans="2:3">
      <c r="B13" s="11" t="s">
        <v>15</v>
      </c>
      <c r="C13" s="10">
        <f>SUMIF('Raw Data'!A:A,B13,'Raw Data'!E:E)</f>
        <v>66000</v>
      </c>
    </row>
    <row r="14" spans="2:3">
      <c r="B14" s="11" t="s">
        <v>16</v>
      </c>
      <c r="C14" s="10">
        <f>SUMIF('Raw Data'!A:A,B14,'Raw Data'!E:E)</f>
        <v>48000</v>
      </c>
    </row>
    <row r="15" spans="2:3">
      <c r="B15" s="11" t="s">
        <v>17</v>
      </c>
      <c r="C15" s="10">
        <f>SUMIF('Raw Data'!A:A,B15,'Raw Data'!E:E)</f>
        <v>61500</v>
      </c>
    </row>
    <row r="16" spans="2:3">
      <c r="B16" s="11" t="s">
        <v>18</v>
      </c>
      <c r="C16" s="10">
        <f>SUMIF('Raw Data'!A:A,B16,'Raw Data'!E:E)</f>
        <v>79000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2026-05-04T23:31:03Z</dcterms:created>
  <dcterms:modified xsi:type="dcterms:W3CDTF">2026-05-06T05:10:52Z</dcterms:modified>
  <cp:category/>
  <cp:contentStatus/>
</cp:coreProperties>
</file>